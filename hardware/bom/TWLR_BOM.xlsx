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정원석\Desktop\"/>
    </mc:Choice>
  </mc:AlternateContent>
  <xr:revisionPtr revIDLastSave="0" documentId="8_{6BED6B31-9CB4-40DA-980B-D18BA861D18C}" xr6:coauthVersionLast="47" xr6:coauthVersionMax="47" xr10:uidLastSave="{00000000-0000-0000-0000-000000000000}"/>
  <bookViews>
    <workbookView xWindow="-108" yWindow="-108" windowWidth="23256" windowHeight="12456" xr2:uid="{69A77A44-D75A-454A-BAE2-1DD795E7FD6C}"/>
  </bookViews>
  <sheets>
    <sheet name="Sheet1" sheetId="1" r:id="rId1"/>
  </sheets>
  <definedNames>
    <definedName name="쿠팡">Sheet1!$E$5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8" i="1" l="1"/>
  <c r="F20" i="1"/>
  <c r="D24" i="1"/>
  <c r="D23" i="1"/>
  <c r="D19" i="1"/>
  <c r="D13" i="1"/>
  <c r="D17" i="1"/>
  <c r="D16" i="1"/>
  <c r="D3" i="1"/>
  <c r="D4" i="1"/>
  <c r="D5" i="1"/>
  <c r="D6" i="1"/>
  <c r="D7" i="1"/>
  <c r="D8" i="1"/>
  <c r="D9" i="1"/>
  <c r="D10" i="1"/>
  <c r="D11" i="1"/>
  <c r="D12" i="1"/>
  <c r="D14" i="1"/>
  <c r="D15" i="1"/>
  <c r="D2" i="1"/>
</calcChain>
</file>

<file path=xl/sharedStrings.xml><?xml version="1.0" encoding="utf-8"?>
<sst xmlns="http://schemas.openxmlformats.org/spreadsheetml/2006/main" count="56" uniqueCount="41">
  <si>
    <t>누리로봇 인휠모터</t>
    <phoneticPr fontId="3" type="noConversion"/>
  </si>
  <si>
    <t>로봇코트</t>
    <phoneticPr fontId="3" type="noConversion"/>
  </si>
  <si>
    <t>VEGA 베가 그래핀 6셀 22.2V 5200mAh 배터리</t>
    <phoneticPr fontId="3" type="noConversion"/>
  </si>
  <si>
    <t>디바이스마트</t>
  </si>
  <si>
    <t>원터치 전선연결 커넥터 221-415 (5핀)</t>
  </si>
  <si>
    <t>디바이스마트</t>
    <phoneticPr fontId="3" type="noConversion"/>
  </si>
  <si>
    <t>XT90 배터리 커넥터</t>
    <phoneticPr fontId="3" type="noConversion"/>
  </si>
  <si>
    <t>24V -&gt; 5V 강압기</t>
    <phoneticPr fontId="3" type="noConversion"/>
  </si>
  <si>
    <t>루빅 링크 V3</t>
    <phoneticPr fontId="3" type="noConversion"/>
  </si>
  <si>
    <t>아트콥터</t>
    <phoneticPr fontId="3" type="noConversion"/>
  </si>
  <si>
    <t>이름</t>
    <phoneticPr fontId="3" type="noConversion"/>
  </si>
  <si>
    <t>수량</t>
    <phoneticPr fontId="2" type="noConversion"/>
  </si>
  <si>
    <t>구매</t>
    <phoneticPr fontId="2" type="noConversion"/>
  </si>
  <si>
    <t>쿠팡</t>
  </si>
  <si>
    <t>M3 볼트 5cm(30개입)</t>
    <phoneticPr fontId="2" type="noConversion"/>
  </si>
  <si>
    <t>드레멜</t>
    <phoneticPr fontId="2" type="noConversion"/>
  </si>
  <si>
    <t>부족분</t>
    <phoneticPr fontId="3" type="noConversion"/>
  </si>
  <si>
    <t>드론앵커센터</t>
    <phoneticPr fontId="2" type="noConversion"/>
  </si>
  <si>
    <t>3.5MM 나사(부싱 결합용)</t>
    <phoneticPr fontId="2" type="noConversion"/>
  </si>
  <si>
    <t>가격</t>
    <phoneticPr fontId="2" type="noConversion"/>
  </si>
  <si>
    <t>CAN 트랜시버</t>
    <phoneticPr fontId="2" type="noConversion"/>
  </si>
  <si>
    <t>4.5MM 나사(부싱 결합용)</t>
    <phoneticPr fontId="2" type="noConversion"/>
  </si>
  <si>
    <t>다리 링크 한 쪽 &amp; 본채 판 2개</t>
    <phoneticPr fontId="2" type="noConversion"/>
  </si>
  <si>
    <t>Teensy4.1</t>
    <phoneticPr fontId="2" type="noConversion"/>
  </si>
  <si>
    <t>비고</t>
    <phoneticPr fontId="2" type="noConversion"/>
  </si>
  <si>
    <t>리니어부시(C-LHFR8)</t>
    <phoneticPr fontId="2" type="noConversion"/>
  </si>
  <si>
    <t>리니어부시(C-LHFR13)</t>
    <phoneticPr fontId="2" type="noConversion"/>
  </si>
  <si>
    <t>샤프트(PSFGW13-68-M6-N6)</t>
    <phoneticPr fontId="2" type="noConversion"/>
  </si>
  <si>
    <t>샤프트(PSFGW8-54-M3-N3)</t>
    <phoneticPr fontId="2" type="noConversion"/>
  </si>
  <si>
    <t>M3 볼트 25mm</t>
    <phoneticPr fontId="2" type="noConversion"/>
  </si>
  <si>
    <t>(VAT포함소계)</t>
  </si>
  <si>
    <t>(VAT포함소계)</t>
    <phoneticPr fontId="2" type="noConversion"/>
  </si>
  <si>
    <t>미즈미</t>
  </si>
  <si>
    <t>총계</t>
    <phoneticPr fontId="2" type="noConversion"/>
  </si>
  <si>
    <t>구매사이트</t>
    <phoneticPr fontId="2" type="noConversion"/>
  </si>
  <si>
    <t>네이버스토어</t>
  </si>
  <si>
    <t>3D 프린팅(별도)</t>
    <phoneticPr fontId="2" type="noConversion"/>
  </si>
  <si>
    <t>서보모터 변경으로 제외</t>
    <phoneticPr fontId="2" type="noConversion"/>
  </si>
  <si>
    <t>서보모터 (Damiao DM4340P)</t>
    <phoneticPr fontId="2" type="noConversion"/>
  </si>
  <si>
    <t>3D 프린팅 &amp; 메모용</t>
    <phoneticPr fontId="2" type="noConversion"/>
  </si>
  <si>
    <t>샤프트(PSFGW8-38-M3-N3)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</si>
</sst>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MalgunGothic"/>
      <family val="2"/>
      <charset val="129"/>
    </font>
    <font>
      <u/>
      <sz val="12"/>
      <color theme="10"/>
      <name val="MalgunGothic"/>
      <family val="2"/>
      <charset val="129"/>
    </font>
    <font>
      <sz val="8"/>
      <name val="MalgunGothic"/>
      <family val="2"/>
      <charset val="129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" fontId="0" fillId="0" borderId="1" xfId="0" applyNumberFormat="1" applyBorder="1">
      <alignment vertical="center"/>
    </xf>
    <xf numFmtId="0" fontId="0" fillId="0" borderId="6" xfId="0" applyBorder="1" applyAlignment="1">
      <alignment horizontal="center" vertical="center"/>
    </xf>
    <xf numFmtId="3" fontId="0" fillId="0" borderId="6" xfId="0" applyNumberFormat="1" applyBorder="1">
      <alignment vertical="center"/>
    </xf>
    <xf numFmtId="0" fontId="0" fillId="2" borderId="0" xfId="0" applyFill="1" applyAlignment="1">
      <alignment horizontal="center" vertical="center"/>
    </xf>
    <xf numFmtId="3" fontId="0" fillId="2" borderId="0" xfId="0" applyNumberFormat="1" applyFill="1">
      <alignment vertical="center"/>
    </xf>
    <xf numFmtId="0" fontId="0" fillId="2" borderId="4" xfId="0" applyFill="1" applyBorder="1" applyAlignment="1">
      <alignment horizontal="center" vertical="center"/>
    </xf>
    <xf numFmtId="0" fontId="1" fillId="2" borderId="0" xfId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pang.com/vp/products/8421487746?itemId=24358638683&amp;vendorItemId=91373991498&amp;q=%EC%9B%8C%ED%81%AC%ED%94%84%EB%A1%9C%20%EC%9B%8C%ED%81%AC%ED%94%84%EB%A1%9C%20%EB%91%A5%EA%B7%BC%EB%A8%B8%EB%A6%AC%EC%99%B8%EB%82%A0%ED%94%BC%EC%8A%A4%203.5&amp;searc" TargetMode="External"/><Relationship Id="rId13" Type="http://schemas.openxmlformats.org/officeDocument/2006/relationships/hyperlink" Target="https://kr.misumi-ec.com/?srsltid=AU7gw4XHaJzvjUpkMQ8GEZGD7fnjMk8RLwXBBV-jmT8HMEKLjUv7-OQA" TargetMode="External"/><Relationship Id="rId3" Type="http://schemas.openxmlformats.org/officeDocument/2006/relationships/hyperlink" Target="https://www.devicemart.co.kr/goods/view?no=16033675" TargetMode="External"/><Relationship Id="rId7" Type="http://schemas.openxmlformats.org/officeDocument/2006/relationships/hyperlink" Target="https://www.devicemart.co.kr/goods/view?no=15007385&amp;srsltid=AU7gw4XNcaw_riP4YLkUsrnleumpYSIGr3wbJ1Yv5D68aOSJlozmt_pP" TargetMode="External"/><Relationship Id="rId12" Type="http://schemas.openxmlformats.org/officeDocument/2006/relationships/hyperlink" Target="https://kr.misumi-ec.com/?srsltid=AU7gw4XHaJzvjUpkMQ8GEZGD7fnjMk8RLwXBBV-jmT8HMEKLjUv7-OQA" TargetMode="External"/><Relationship Id="rId17" Type="http://schemas.openxmlformats.org/officeDocument/2006/relationships/hyperlink" Target="https://kr.misumi-ec.com/?srsltid=AU7gw4XHaJzvjUpkMQ8GEZGD7fnjMk8RLwXBBV-jmT8HMEKLjUv7-OQA" TargetMode="External"/><Relationship Id="rId2" Type="http://schemas.openxmlformats.org/officeDocument/2006/relationships/hyperlink" Target="https://www.coupang.com/vp/products/9358209465?itemId=27765190695&amp;vendorItemId=94725765062&amp;q=M3+%EB%82%98%EC%82%AC+5cm&amp;searchId=9f6c2ea618021302&amp;sourceType=search&amp;itemsCount=36&amp;searchRank=3&amp;rank=3&amp;traceId=muaybgud" TargetMode="External"/><Relationship Id="rId16" Type="http://schemas.openxmlformats.org/officeDocument/2006/relationships/hyperlink" Target="https://www.devicemart.co.kr/goods/view?no=16019401" TargetMode="External"/><Relationship Id="rId1" Type="http://schemas.openxmlformats.org/officeDocument/2006/relationships/hyperlink" Target="https://robotcourt.com/product/%EB%88%84%EB%A6%AC%EB%A1%9C%EB%B4%87-%EC%9D%B8%ED%9C%A0%EB%AA%A8%ED%84%B0-%EC%97%94%EC%BD%94%EB%8D%94-wa172e/141/category/66/display/1/" TargetMode="External"/><Relationship Id="rId6" Type="http://schemas.openxmlformats.org/officeDocument/2006/relationships/hyperlink" Target="https://www.devicemart.co.kr/goods/view?no=15960461" TargetMode="External"/><Relationship Id="rId11" Type="http://schemas.openxmlformats.org/officeDocument/2006/relationships/hyperlink" Target="https://www.coupang.com/vp/products/9485327739?itemId=28482319850&amp;vendorItemId=95432433235&amp;sourceType=srp_product_ads&amp;clickEventId=e93437d0-b5a9-11f1-ba3e-94d527cf72df&amp;korePlacement=15&amp;koreSubPlacement=1&amp;clickEventId=e93437d0-b5a9-11f1-ba3e-94d527cf72df&amp;k" TargetMode="External"/><Relationship Id="rId5" Type="http://schemas.openxmlformats.org/officeDocument/2006/relationships/hyperlink" Target="https://www.devicemart.co.kr/goods/view?no=10827023" TargetMode="External"/><Relationship Id="rId15" Type="http://schemas.openxmlformats.org/officeDocument/2006/relationships/hyperlink" Target="https://artcopter.com/product/cubemars-rubik-link-%EB%A3%A8%EB%B9%85-%EB%A7%81%ED%81%AC-v3/1162/category/439/display/1/" TargetMode="External"/><Relationship Id="rId10" Type="http://schemas.openxmlformats.org/officeDocument/2006/relationships/hyperlink" Target="https://www.devicemart.co.kr/goods/view?no=14276922" TargetMode="External"/><Relationship Id="rId4" Type="http://schemas.openxmlformats.org/officeDocument/2006/relationships/hyperlink" Target="https://www.coupang.com/vp/products/7048461479?itemId=17447938051&amp;vendorItemId=84616439082&amp;q=24v+5v+%EC%BB%A8%EB%B2%84%ED%84%B0+10a&amp;searchId=bebbdcd9534765&amp;sourceType=search&amp;itemsCount=36&amp;searchRank=0&amp;rank=0&amp;traceId=mu85nv31" TargetMode="External"/><Relationship Id="rId9" Type="http://schemas.openxmlformats.org/officeDocument/2006/relationships/hyperlink" Target="https://www.coupang.com/vp/products/8421487742?itemId=24358638675&amp;vendorItemId=91373991483&amp;q=m4.5+%EB%82%98%EC%82%AC&amp;searchId=03bdd7da367825&amp;sourceType=search&amp;itemsCount=36&amp;searchRank=0&amp;rank=0&amp;traceId=mub436w3" TargetMode="External"/><Relationship Id="rId14" Type="http://schemas.openxmlformats.org/officeDocument/2006/relationships/hyperlink" Target="https://smartstore.naver.com/kwshop/products/11630733328?nl-ts-pid=jrZNudqX5EwssBAvnrG-240565&amp;n_media=27758&amp;n_query=%EB%93%9C%EB%A0%88%EB%A9%9C3000&amp;n_rank=3&amp;n_ad_group=grp-a001-02-000000065394161&amp;n_ad=nad-a001-02-000000509064633&amp;n_campaign_type=2&amp;n_mall_id=ncp_1nv6bo_01&amp;n_mall_pid=11630733328&amp;n_ad_group_type=2&amp;n_match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B8F91-F44A-C94F-9FA9-B78809C4C2E3}">
  <dimension ref="A1:I24"/>
  <sheetViews>
    <sheetView tabSelected="1" workbookViewId="0">
      <selection activeCell="F16" sqref="F16"/>
    </sheetView>
  </sheetViews>
  <sheetFormatPr defaultColWidth="10.90625" defaultRowHeight="15.6"/>
  <cols>
    <col min="1" max="1" width="32.7265625" customWidth="1"/>
    <col min="5" max="5" width="13.54296875" style="1" customWidth="1"/>
    <col min="7" max="7" width="23.81640625" style="1" customWidth="1"/>
  </cols>
  <sheetData>
    <row r="1" spans="1:9" ht="16.2" thickBot="1">
      <c r="A1" s="5" t="s">
        <v>10</v>
      </c>
      <c r="B1" s="6" t="s">
        <v>11</v>
      </c>
      <c r="C1" s="6" t="s">
        <v>12</v>
      </c>
      <c r="D1" s="6" t="s">
        <v>16</v>
      </c>
      <c r="E1" s="3" t="s">
        <v>34</v>
      </c>
      <c r="F1" s="6" t="s">
        <v>19</v>
      </c>
      <c r="G1" s="6" t="s">
        <v>24</v>
      </c>
    </row>
    <row r="2" spans="1:9" ht="16.2" thickTop="1">
      <c r="A2" s="7" t="s">
        <v>0</v>
      </c>
      <c r="B2" s="1">
        <v>2</v>
      </c>
      <c r="C2" s="1">
        <v>1</v>
      </c>
      <c r="D2" s="1">
        <f t="shared" ref="D2:D7" si="0">IF(($B2-$C2) &lt; 0, 0, ($B2-$C2))</f>
        <v>1</v>
      </c>
      <c r="E2" s="8" t="s">
        <v>1</v>
      </c>
      <c r="F2" s="2">
        <v>154000</v>
      </c>
    </row>
    <row r="3" spans="1:9">
      <c r="A3" s="7" t="s">
        <v>2</v>
      </c>
      <c r="B3" s="1">
        <v>1</v>
      </c>
      <c r="C3" s="1">
        <v>0</v>
      </c>
      <c r="D3" s="1">
        <f t="shared" si="0"/>
        <v>1</v>
      </c>
      <c r="E3" s="8" t="s">
        <v>3</v>
      </c>
      <c r="F3" s="2">
        <v>100200</v>
      </c>
    </row>
    <row r="4" spans="1:9">
      <c r="A4" s="7" t="s">
        <v>4</v>
      </c>
      <c r="B4" s="1">
        <v>2</v>
      </c>
      <c r="C4" s="1">
        <v>0</v>
      </c>
      <c r="D4" s="1">
        <f t="shared" si="0"/>
        <v>2</v>
      </c>
      <c r="E4" s="8" t="s">
        <v>3</v>
      </c>
      <c r="F4" s="2">
        <v>1800</v>
      </c>
    </row>
    <row r="5" spans="1:9" ht="17.399999999999999">
      <c r="A5" s="9" t="s">
        <v>6</v>
      </c>
      <c r="B5" s="1">
        <v>1</v>
      </c>
      <c r="C5" s="1">
        <v>0</v>
      </c>
      <c r="D5" s="1">
        <f t="shared" si="0"/>
        <v>1</v>
      </c>
      <c r="E5" s="8" t="s">
        <v>5</v>
      </c>
      <c r="F5" s="2">
        <v>3600</v>
      </c>
    </row>
    <row r="6" spans="1:9">
      <c r="A6" s="7" t="s">
        <v>14</v>
      </c>
      <c r="B6" s="1">
        <v>1</v>
      </c>
      <c r="C6" s="1">
        <v>0</v>
      </c>
      <c r="D6" s="1">
        <f t="shared" si="0"/>
        <v>1</v>
      </c>
      <c r="E6" s="8" t="s">
        <v>13</v>
      </c>
      <c r="F6" s="2">
        <v>6900</v>
      </c>
    </row>
    <row r="7" spans="1:9">
      <c r="A7" s="7" t="s">
        <v>7</v>
      </c>
      <c r="B7" s="1">
        <v>1</v>
      </c>
      <c r="C7" s="1">
        <v>0</v>
      </c>
      <c r="D7" s="1">
        <f t="shared" si="0"/>
        <v>1</v>
      </c>
      <c r="E7" s="8" t="s">
        <v>13</v>
      </c>
      <c r="F7" s="2">
        <v>14530</v>
      </c>
    </row>
    <row r="8" spans="1:9">
      <c r="A8" s="7" t="s">
        <v>20</v>
      </c>
      <c r="B8" s="1">
        <v>3</v>
      </c>
      <c r="C8" s="1">
        <v>0</v>
      </c>
      <c r="D8" s="1">
        <f t="shared" ref="D8:D18" si="1">IF(($B8-$C8) &lt; 0, 0, ($B8-$C8))</f>
        <v>3</v>
      </c>
      <c r="E8" s="8" t="s">
        <v>3</v>
      </c>
      <c r="F8" s="2">
        <v>27000</v>
      </c>
    </row>
    <row r="9" spans="1:9">
      <c r="A9" s="7" t="s">
        <v>23</v>
      </c>
      <c r="B9" s="1">
        <v>1</v>
      </c>
      <c r="C9" s="1">
        <v>0</v>
      </c>
      <c r="D9" s="1">
        <f t="shared" si="1"/>
        <v>1</v>
      </c>
      <c r="E9" s="8" t="s">
        <v>3</v>
      </c>
      <c r="F9" s="2">
        <v>67500</v>
      </c>
    </row>
    <row r="10" spans="1:9">
      <c r="A10" s="7" t="s">
        <v>15</v>
      </c>
      <c r="B10" s="1">
        <v>1</v>
      </c>
      <c r="C10" s="1">
        <v>0</v>
      </c>
      <c r="D10" s="1">
        <f t="shared" si="1"/>
        <v>1</v>
      </c>
      <c r="E10" s="8" t="s">
        <v>35</v>
      </c>
      <c r="F10" s="2">
        <v>58390</v>
      </c>
    </row>
    <row r="11" spans="1:9">
      <c r="A11" s="7" t="s">
        <v>18</v>
      </c>
      <c r="B11" s="1">
        <v>1</v>
      </c>
      <c r="C11" s="1">
        <v>0</v>
      </c>
      <c r="D11" s="1">
        <f t="shared" si="1"/>
        <v>1</v>
      </c>
      <c r="E11" s="8" t="s">
        <v>13</v>
      </c>
      <c r="F11" s="2">
        <v>4600</v>
      </c>
    </row>
    <row r="12" spans="1:9">
      <c r="A12" s="7" t="s">
        <v>21</v>
      </c>
      <c r="B12" s="1">
        <v>1</v>
      </c>
      <c r="C12" s="1">
        <v>0</v>
      </c>
      <c r="D12" s="1">
        <f t="shared" si="1"/>
        <v>1</v>
      </c>
      <c r="E12" s="8" t="s">
        <v>13</v>
      </c>
      <c r="F12" s="2">
        <v>4800</v>
      </c>
    </row>
    <row r="13" spans="1:9">
      <c r="A13" s="7" t="s">
        <v>29</v>
      </c>
      <c r="B13" s="1">
        <v>1</v>
      </c>
      <c r="C13" s="1">
        <v>0</v>
      </c>
      <c r="D13" s="1">
        <f t="shared" si="1"/>
        <v>1</v>
      </c>
      <c r="E13" s="8" t="s">
        <v>13</v>
      </c>
      <c r="F13" s="2">
        <v>7300</v>
      </c>
    </row>
    <row r="14" spans="1:9">
      <c r="A14" s="7" t="s">
        <v>25</v>
      </c>
      <c r="B14" s="1">
        <v>6</v>
      </c>
      <c r="C14" s="1">
        <v>0</v>
      </c>
      <c r="D14" s="1">
        <f t="shared" si="1"/>
        <v>6</v>
      </c>
      <c r="E14" s="8" t="s">
        <v>32</v>
      </c>
      <c r="F14" s="2">
        <v>36023</v>
      </c>
      <c r="G14" s="1" t="s">
        <v>31</v>
      </c>
    </row>
    <row r="15" spans="1:9">
      <c r="A15" s="7" t="s">
        <v>26</v>
      </c>
      <c r="B15" s="1">
        <v>2</v>
      </c>
      <c r="C15" s="1">
        <v>0</v>
      </c>
      <c r="D15" s="1">
        <f t="shared" si="1"/>
        <v>2</v>
      </c>
      <c r="E15" s="8" t="s">
        <v>32</v>
      </c>
      <c r="F15" s="2">
        <v>12894</v>
      </c>
      <c r="G15" s="1" t="s">
        <v>30</v>
      </c>
      <c r="I15" s="2"/>
    </row>
    <row r="16" spans="1:9">
      <c r="A16" s="7" t="s">
        <v>27</v>
      </c>
      <c r="B16" s="1">
        <v>1</v>
      </c>
      <c r="C16" s="1">
        <v>0</v>
      </c>
      <c r="D16" s="1">
        <f t="shared" si="1"/>
        <v>1</v>
      </c>
      <c r="E16" s="8" t="s">
        <v>32</v>
      </c>
      <c r="F16" s="2">
        <v>5808</v>
      </c>
      <c r="G16" s="1" t="s">
        <v>30</v>
      </c>
    </row>
    <row r="17" spans="1:9">
      <c r="A17" s="7" t="s">
        <v>28</v>
      </c>
      <c r="B17" s="1">
        <v>1</v>
      </c>
      <c r="C17" s="1">
        <v>0</v>
      </c>
      <c r="D17" s="1">
        <f t="shared" si="1"/>
        <v>1</v>
      </c>
      <c r="E17" s="8" t="s">
        <v>32</v>
      </c>
      <c r="F17" s="2">
        <v>15912</v>
      </c>
      <c r="G17" s="1" t="s">
        <v>30</v>
      </c>
      <c r="I17" s="2"/>
    </row>
    <row r="18" spans="1:9">
      <c r="A18" s="18" t="s">
        <v>40</v>
      </c>
      <c r="B18" s="1">
        <v>2</v>
      </c>
      <c r="C18" s="1">
        <v>0</v>
      </c>
      <c r="D18" s="1">
        <f t="shared" si="1"/>
        <v>2</v>
      </c>
      <c r="E18" s="8" t="s">
        <v>32</v>
      </c>
      <c r="F18" s="2">
        <v>28338</v>
      </c>
      <c r="G18" s="1" t="s">
        <v>30</v>
      </c>
      <c r="I18" s="2"/>
    </row>
    <row r="19" spans="1:9" ht="16.2" thickBot="1">
      <c r="A19" s="10" t="s">
        <v>38</v>
      </c>
      <c r="B19" s="3">
        <v>2</v>
      </c>
      <c r="C19" s="3">
        <v>0</v>
      </c>
      <c r="D19" s="3">
        <f>IF(($B19-$C19) &lt; 0, 0, ($B19-$C19))</f>
        <v>2</v>
      </c>
      <c r="E19" s="4" t="s">
        <v>3</v>
      </c>
      <c r="F19" s="11">
        <v>635200</v>
      </c>
      <c r="G19" s="3"/>
      <c r="I19" s="2"/>
    </row>
    <row r="20" spans="1:9" ht="16.8" thickTop="1" thickBot="1">
      <c r="E20" s="12" t="s">
        <v>33</v>
      </c>
      <c r="F20" s="13">
        <f>SUM(F2:F19)</f>
        <v>1184795</v>
      </c>
    </row>
    <row r="21" spans="1:9" ht="16.2" thickTop="1"/>
    <row r="22" spans="1:9">
      <c r="A22" s="14" t="s">
        <v>39</v>
      </c>
    </row>
    <row r="23" spans="1:9">
      <c r="A23" s="14" t="s">
        <v>22</v>
      </c>
      <c r="B23" s="14">
        <v>1</v>
      </c>
      <c r="C23" s="14">
        <v>0</v>
      </c>
      <c r="D23" s="14">
        <f>IF(($B23-$C23) &lt; 0, 0, ($B23-$C23))</f>
        <v>1</v>
      </c>
      <c r="E23" s="14" t="s">
        <v>17</v>
      </c>
      <c r="F23" s="15">
        <v>150000</v>
      </c>
      <c r="G23" s="14" t="s">
        <v>36</v>
      </c>
    </row>
    <row r="24" spans="1:9">
      <c r="A24" s="16" t="s">
        <v>8</v>
      </c>
      <c r="B24" s="14">
        <v>1</v>
      </c>
      <c r="C24" s="14">
        <v>0</v>
      </c>
      <c r="D24" s="14">
        <f>IF(($B24-$C24) &lt; 0, 0, ($B24-$C24))</f>
        <v>1</v>
      </c>
      <c r="E24" s="17" t="s">
        <v>9</v>
      </c>
      <c r="F24" s="15">
        <v>37400</v>
      </c>
      <c r="G24" s="14" t="s">
        <v>37</v>
      </c>
    </row>
  </sheetData>
  <phoneticPr fontId="2" type="noConversion"/>
  <conditionalFormatting sqref="D2:D19">
    <cfRule type="cellIs" dxfId="1" priority="3" operator="greaterThan">
      <formula>0</formula>
    </cfRule>
  </conditionalFormatting>
  <conditionalFormatting sqref="D23:D24">
    <cfRule type="cellIs" dxfId="0" priority="1" operator="greaterThan">
      <formula>0</formula>
    </cfRule>
  </conditionalFormatting>
  <hyperlinks>
    <hyperlink ref="E2" r:id="rId1" xr:uid="{ABA2D4E1-35DC-F348-83E1-DB815DE496AF}"/>
    <hyperlink ref="E6" r:id="rId2" xr:uid="{E52854BE-2E7A-2349-892B-AAFEE63B42B2}"/>
    <hyperlink ref="E3" r:id="rId3" xr:uid="{DFCAC5FC-90C4-1B47-93D7-6BCA338555CA}"/>
    <hyperlink ref="E7" r:id="rId4" xr:uid="{939AAA9D-22AE-C442-9C93-4FCB03216760}"/>
    <hyperlink ref="E4" r:id="rId5" display="https://www.devicemart.co.kr/goods/view?no=10827023" xr:uid="{63C53E98-AFF7-7449-A1CB-044453E04A5C}"/>
    <hyperlink ref="E5" r:id="rId6" xr:uid="{92D73ED3-2F0E-EB43-AA22-FE982748CB1B}"/>
    <hyperlink ref="E8" r:id="rId7" xr:uid="{05235C25-9BF2-424C-9635-E53006D8196D}"/>
    <hyperlink ref="E11" r:id="rId8" xr:uid="{8491D4B3-07BD-4D44-A800-117115A61333}"/>
    <hyperlink ref="E12" r:id="rId9" xr:uid="{7FB467CA-DC9B-0B4F-80E7-464150CAE81C}"/>
    <hyperlink ref="E9" r:id="rId10" xr:uid="{D6448A10-BE4C-5340-9884-2656C667B211}"/>
    <hyperlink ref="E13" r:id="rId11" xr:uid="{F43FF644-2BFA-4AB0-8AE7-0ED764607063}"/>
    <hyperlink ref="E14" r:id="rId12" xr:uid="{E12CAEED-589B-4DEF-A374-C238C99253A5}"/>
    <hyperlink ref="E15:E17" r:id="rId13" display="미즈미" xr:uid="{E9B68BF0-67B0-441B-8F6A-7F9231EAA4B6}"/>
    <hyperlink ref="E10" r:id="rId14" xr:uid="{D181F7B3-BAC6-4610-9FDF-D636481B122D}"/>
    <hyperlink ref="E24" r:id="rId15" xr:uid="{9437F471-4D35-4AB9-B224-302F7C46567B}"/>
    <hyperlink ref="E19" r:id="rId16" xr:uid="{16DA797B-DD1B-497F-8B78-4120422CEAC3}"/>
    <hyperlink ref="E18" r:id="rId17" xr:uid="{E566F0A0-7406-4410-8E41-7768A3E153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쿠팡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정성훈(***1***173)</dc:creator>
  <cp:lastModifiedBy>정원석(***1***178)</cp:lastModifiedBy>
  <dcterms:created xsi:type="dcterms:W3CDTF">2026-09-21T08:01:27Z</dcterms:created>
  <dcterms:modified xsi:type="dcterms:W3CDTF">2026-09-22T12:39:36Z</dcterms:modified>
</cp:coreProperties>
</file>